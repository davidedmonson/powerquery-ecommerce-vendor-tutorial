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ropbox\DaveDocs\Downloads\powerqueryDemo\"/>
    </mc:Choice>
  </mc:AlternateContent>
  <xr:revisionPtr revIDLastSave="0" documentId="13_ncr:1_{E5FB86AE-1C95-4917-B998-BA3FD942387D}" xr6:coauthVersionLast="47" xr6:coauthVersionMax="47" xr10:uidLastSave="{00000000-0000-0000-0000-000000000000}"/>
  <bookViews>
    <workbookView xWindow="-43848" yWindow="2232" windowWidth="21600" windowHeight="11772" xr2:uid="{58BE05A4-F167-43E4-A598-9ED5B3C63E0C}"/>
  </bookViews>
  <sheets>
    <sheet name="Merge1" sheetId="4" r:id="rId1"/>
    <sheet name="mydescriptions" sheetId="3" r:id="rId2"/>
    <sheet name="TQxNyBwElbls" sheetId="2" r:id="rId3"/>
    <sheet name="Sheet1" sheetId="1" r:id="rId4"/>
  </sheets>
  <definedNames>
    <definedName name="ExternalData_1" localSheetId="2" hidden="1">TQxNyBwElbls!$A$1:$AA$4</definedName>
    <definedName name="ExternalData_2" localSheetId="0" hidden="1">Merge1!$A$1:$E$3</definedName>
    <definedName name="ExternalData_2" localSheetId="1" hidden="1">mydescriptions!$A$1:$B$3</definedName>
    <definedName name="FilePath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2C5F72-82C1-415D-A563-1135BAD98F49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2D50F1C8-01DF-4BA0-A325-2CC532D33B7C}" keepAlive="1" name="Query - mydescriptions" description="Connection to the 'mydescriptions' query in the workbook." type="5" refreshedVersion="8" background="1" saveData="1">
    <dbPr connection="Provider=Microsoft.Mashup.OleDb.1;Data Source=$Workbook$;Location=mydescriptions;Extended Properties=&quot;&quot;" command="SELECT * FROM [mydescriptions]"/>
  </connection>
  <connection id="3" xr16:uid="{4B8995FA-5CF8-4DB8-A37A-7B52574A6491}" keepAlive="1" name="Query - TQxNyBwElbls" description="Connection to the 'TQxNyBwElbls' query in the workbook." type="5" refreshedVersion="8" background="1" saveData="1">
    <dbPr connection="Provider=Microsoft.Mashup.OleDb.1;Data Source=$Workbook$;Location=TQxNyBwElbls;Extended Properties=&quot;&quot;" command="SELECT * FROM [TQxNyBwElbl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<sst xmlns="http://schemas.openxmlformats.org/spreadsheetml/2006/main" count="92" uniqueCount="63">
  <si>
    <t>sku</t>
  </si>
  <si>
    <t>upc</t>
  </si>
  <si>
    <t>shipping_programs</t>
  </si>
  <si>
    <t>description</t>
  </si>
  <si>
    <t>model_number</t>
  </si>
  <si>
    <t>list_price</t>
  </si>
  <si>
    <t>map_mrp</t>
  </si>
  <si>
    <t>weight</t>
  </si>
  <si>
    <t>parent_product_group</t>
  </si>
  <si>
    <t>sub_product_group</t>
  </si>
  <si>
    <t>brand</t>
  </si>
  <si>
    <t>manufacturer</t>
  </si>
  <si>
    <t>net_cost</t>
  </si>
  <si>
    <t>qoh</t>
  </si>
  <si>
    <t>path_to_image</t>
  </si>
  <si>
    <t>full_description</t>
  </si>
  <si>
    <t>related_items</t>
  </si>
  <si>
    <t>sale_start</t>
  </si>
  <si>
    <t>sale_end</t>
  </si>
  <si>
    <t>regular_price</t>
  </si>
  <si>
    <t>code_map_mrp</t>
  </si>
  <si>
    <t>expected_date</t>
  </si>
  <si>
    <t>rebate_info</t>
  </si>
  <si>
    <t>condition</t>
  </si>
  <si>
    <t>stock</t>
  </si>
  <si>
    <t>prop65</t>
  </si>
  <si>
    <t>791659093696</t>
  </si>
  <si>
    <t>ACR 1061 Battery GMDSS For SR203</t>
  </si>
  <si>
    <t>1061</t>
  </si>
  <si>
    <t>Safety</t>
  </si>
  <si>
    <t>Survival Radios</t>
  </si>
  <si>
    <t>ACR Electronics</t>
  </si>
  <si>
    <t>ACR</t>
  </si>
  <si>
    <t>https://media.wintronelectronics.com/media/catalog/product/A/C/ACR1061.jpg</t>
  </si>
  <si>
    <t>&lt;p&gt;&lt;b&gt;ACRSR203 Lithium Battery&lt;/b&gt;&lt;/p&gt;Model: 1061&lt;br&gt;&lt;ul class="wtul"&gt;&lt;li&gt;SR203 Battery&lt;/li&gt;&lt;li&gt;Lithium Battery Pack&lt;/li&gt;&lt;li&gt;Provides GMDSS Capability to Survival Craft Radio&lt;/li&gt;&lt;li&gt;Operating Life: 8 Hours&lt;/li&gt;&lt;/ul&gt;&lt;p&gt;he ACR Electronics 1061 is a lithium battery pack made to use with SR203 with a battery life of 8 hours and provides GMDSS capability to survival craft radio.&lt;/p&gt;</t>
  </si>
  <si>
    <t>ACR2827,ACR2828</t>
  </si>
  <si>
    <t/>
  </si>
  <si>
    <t>New Unit</t>
  </si>
  <si>
    <t>Regular Stock</t>
  </si>
  <si>
    <t>WARNING: This product can expose you to chemicals including Di(2-ethylhexyl)phthalate (DEHP), which are known to the State of California to cause cancer and birth defects or other reproductive harm. For more information go to www.P65Warnings.ca.gov.</t>
  </si>
  <si>
    <t>791659010624</t>
  </si>
  <si>
    <t>ACR 1062 Rechargeable Battery For SR203</t>
  </si>
  <si>
    <t>1062</t>
  </si>
  <si>
    <t>https://media.wintronelectronics.com/media/catalog/product/A/C/ACR1062.jpg</t>
  </si>
  <si>
    <t>&lt;p&gt;&lt;b&gt;ACR 1062 Rechargable Battery&lt;/b&gt;&lt;/p&gt;Model: 1062&lt;br&gt;&lt;/ul&gt;&lt;p&gt;ACR 1062 Rechargeable Battery For SR203&lt;/p&gt;</t>
  </si>
  <si>
    <t>ACR2815</t>
  </si>
  <si>
    <t>791659192733</t>
  </si>
  <si>
    <t>ACR URC102 Control Box For RCL50/100 Series 12/24v</t>
  </si>
  <si>
    <t>1927.3</t>
  </si>
  <si>
    <t>Lighting</t>
  </si>
  <si>
    <t>Lights - Spotlight Accessories</t>
  </si>
  <si>
    <t>https://media.wintronelectronics.com/media/catalog/product/A/C/ACR19273.jpg</t>
  </si>
  <si>
    <t>&lt;p&gt;Control box for RCL100/50 requires control pad. &lt;/p&gt;</t>
  </si>
  <si>
    <t>Newprice</t>
  </si>
  <si>
    <t>Buy our amazing stuff</t>
  </si>
  <si>
    <t>TQxNyBwElbls.upc</t>
  </si>
  <si>
    <t>TQxNyBwElbls.Newprice</t>
  </si>
  <si>
    <t>TQxNyBwElbls.weight</t>
  </si>
  <si>
    <t>newdescription</t>
  </si>
  <si>
    <t>01061</t>
  </si>
  <si>
    <t>01062</t>
  </si>
  <si>
    <t>This is the best radio</t>
  </si>
  <si>
    <t>019273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</si>
</sst>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3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C8AF606-6205-45D7-B079-A7F8A2E79371}" autoFormatId="16" applyNumberFormats="0" applyBorderFormats="0" applyFontFormats="0" applyPatternFormats="0" applyAlignmentFormats="0" applyWidthHeightFormats="0">
  <queryTableRefresh nextId="8">
    <queryTableFields count="5">
      <queryTableField id="1" name="sku" tableColumnId="1"/>
      <queryTableField id="6" name="newdescription" tableColumnId="2"/>
      <queryTableField id="3" name="TQxNyBwElbls.upc" tableColumnId="3"/>
      <queryTableField id="4" name="TQxNyBwElbls.Newprice" tableColumnId="4"/>
      <queryTableField id="5" name="TQxNyBwElbls.weigh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5E06F57-F6F9-44F3-925D-F00870A57BA3}" autoFormatId="16" applyNumberFormats="0" applyBorderFormats="0" applyFontFormats="0" applyPatternFormats="0" applyAlignmentFormats="0" applyWidthHeightFormats="0">
  <queryTableRefresh nextId="4">
    <queryTableFields count="2">
      <queryTableField id="1" name="sku" tableColumnId="1"/>
      <queryTableField id="3" name="newdescrip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591F8AE-C90C-4559-B32C-A7472B62314A}" autoFormatId="16" applyNumberFormats="0" applyBorderFormats="0" applyFontFormats="0" applyPatternFormats="0" applyAlignmentFormats="0" applyWidthHeightFormats="0">
  <queryTableRefresh nextId="29">
    <queryTableFields count="27">
      <queryTableField id="1" name="sku" tableColumnId="1"/>
      <queryTableField id="2" name="upc" tableColumnId="2"/>
      <queryTableField id="3" name="shipping_programs" tableColumnId="3"/>
      <queryTableField id="4" name="description" tableColumnId="4"/>
      <queryTableField id="5" name="model_number" tableColumnId="5"/>
      <queryTableField id="6" name="list_price" tableColumnId="6"/>
      <queryTableField id="7" name="map_mrp" tableColumnId="7"/>
      <queryTableField id="27" name="Newprice" tableColumnId="27"/>
      <queryTableField id="8" name="weight" tableColumnId="8"/>
      <queryTableField id="9" name="parent_product_group" tableColumnId="9"/>
      <queryTableField id="10" name="sub_product_group" tableColumnId="10"/>
      <queryTableField id="11" name="brand" tableColumnId="11"/>
      <queryTableField id="12" name="manufacturer" tableColumnId="12"/>
      <queryTableField id="13" name="net_cost" tableColumnId="13"/>
      <queryTableField id="14" name="qoh" tableColumnId="14"/>
      <queryTableField id="15" name="path_to_image" tableColumnId="15"/>
      <queryTableField id="16" name="full_description" tableColumnId="16"/>
      <queryTableField id="17" name="related_items" tableColumnId="17"/>
      <queryTableField id="18" name="sale_start" tableColumnId="18"/>
      <queryTableField id="19" name="sale_end" tableColumnId="19"/>
      <queryTableField id="20" name="regular_price" tableColumnId="20"/>
      <queryTableField id="21" name="code_map_mrp" tableColumnId="21"/>
      <queryTableField id="22" name="expected_date" tableColumnId="22"/>
      <queryTableField id="23" name="rebate_info" tableColumnId="23"/>
      <queryTableField id="24" name="condition" tableColumnId="24"/>
      <queryTableField id="25" name="stock" tableColumnId="25"/>
      <queryTableField id="26" name="prop65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1D9F6F-D024-431F-AD9D-A032A9A0C6C3}" name="Merge1" displayName="Merge1" ref="A1:E3" tableType="queryTable" totalsRowShown="0">
  <autoFilter ref="A1:E3" xr:uid="{D41D9F6F-D024-431F-AD9D-A032A9A0C6C3}"/>
  <tableColumns count="5">
    <tableColumn id="1" xr3:uid="{EAFF361D-F11D-4230-AC37-069BD045B39F}" uniqueName="1" name="sku" queryTableFieldId="1" dataDxfId="6"/>
    <tableColumn id="2" xr3:uid="{D855D8D1-8F08-4FC7-89E7-4187C4D00563}" uniqueName="2" name="newdescription" queryTableFieldId="6" dataDxfId="5"/>
    <tableColumn id="3" xr3:uid="{92B132DD-8EA0-498E-9023-098151E1A0C6}" uniqueName="3" name="TQxNyBwElbls.upc" queryTableFieldId="3" dataDxfId="4"/>
    <tableColumn id="4" xr3:uid="{F4A8B397-E4A1-4D93-A3C2-4C7DB2550365}" uniqueName="4" name="TQxNyBwElbls.Newprice" queryTableFieldId="4"/>
    <tableColumn id="5" xr3:uid="{C381B40C-6F40-45E8-B17A-04ABD12BDEA7}" uniqueName="5" name="TQxNyBwElbls.weigh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6D0BC4-C54A-4259-BD82-124AF990930F}" name="mydescriptions" displayName="mydescriptions" ref="A1:B3" tableType="queryTable" totalsRowShown="0">
  <autoFilter ref="A1:B3" xr:uid="{E46D0BC4-C54A-4259-BD82-124AF990930F}"/>
  <tableColumns count="2">
    <tableColumn id="1" xr3:uid="{01ADAEB3-24A4-48D5-9D23-5AA6AFBAD1C2}" uniqueName="1" name="sku" queryTableFieldId="1" dataDxfId="3"/>
    <tableColumn id="2" xr3:uid="{C21EF698-FA85-420D-AF88-63630064F684}" uniqueName="2" name="newdescription" queryTableFieldId="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5CB56-2F21-458C-912A-2E65C44EDB70}" name="TQxNyBwElbls" displayName="TQxNyBwElbls" ref="A1:AA4" tableType="queryTable" totalsRowShown="0">
  <autoFilter ref="A1:AA4" xr:uid="{0ED5CB56-2F21-458C-912A-2E65C44EDB70}"/>
  <tableColumns count="27">
    <tableColumn id="1" xr3:uid="{92979C58-F97C-4CA4-A29B-1156A74D11D0}" uniqueName="1" name="sku" queryTableFieldId="1" dataDxfId="22"/>
    <tableColumn id="2" xr3:uid="{7B4D1F15-9D24-4606-9FB7-6A8A984A6F59}" uniqueName="2" name="upc" queryTableFieldId="2" dataDxfId="21"/>
    <tableColumn id="3" xr3:uid="{C547DAB7-9E2B-448B-A741-D20AD2CC9298}" uniqueName="3" name="shipping_programs" queryTableFieldId="3"/>
    <tableColumn id="4" xr3:uid="{49985243-11DD-43DD-BED3-0699449EE127}" uniqueName="4" name="description" queryTableFieldId="4" dataDxfId="20"/>
    <tableColumn id="5" xr3:uid="{972CC07A-33E5-4371-A8F4-29D35ECC840C}" uniqueName="5" name="model_number" queryTableFieldId="5" dataDxfId="19"/>
    <tableColumn id="6" xr3:uid="{8AAAFC22-41C8-415F-A716-6436D5EE379F}" uniqueName="6" name="list_price" queryTableFieldId="6"/>
    <tableColumn id="7" xr3:uid="{B102DCA6-E41A-4700-BB9A-C07C44524108}" uniqueName="7" name="map_mrp" queryTableFieldId="7"/>
    <tableColumn id="27" xr3:uid="{E4876529-599D-4B76-B485-D8D1EFCBDA65}" uniqueName="27" name="Newprice" queryTableFieldId="27"/>
    <tableColumn id="8" xr3:uid="{7FEA6470-80C3-4F13-A5A8-214B601F34C9}" uniqueName="8" name="weight" queryTableFieldId="8"/>
    <tableColumn id="9" xr3:uid="{2BAEB91E-0ECD-4CC1-A378-3C34B4D40ED4}" uniqueName="9" name="parent_product_group" queryTableFieldId="9" dataDxfId="18"/>
    <tableColumn id="10" xr3:uid="{7E76AE5A-45FC-45DA-B575-2165B95ABFA7}" uniqueName="10" name="sub_product_group" queryTableFieldId="10" dataDxfId="17"/>
    <tableColumn id="11" xr3:uid="{87A4F271-F835-43FC-BEB0-5262FE7D0F15}" uniqueName="11" name="brand" queryTableFieldId="11" dataDxfId="16"/>
    <tableColumn id="12" xr3:uid="{1FCCF69E-40CE-4361-9E15-4D6384F917FD}" uniqueName="12" name="manufacturer" queryTableFieldId="12" dataDxfId="15"/>
    <tableColumn id="13" xr3:uid="{A83E56EA-CE8D-4177-B4A8-7C5DC76B1461}" uniqueName="13" name="net_cost" queryTableFieldId="13"/>
    <tableColumn id="14" xr3:uid="{8334ACB9-71B4-4125-AD30-2611CB78306F}" uniqueName="14" name="qoh" queryTableFieldId="14"/>
    <tableColumn id="15" xr3:uid="{0F977960-3EFD-472F-9348-3806FC332921}" uniqueName="15" name="path_to_image" queryTableFieldId="15" dataDxfId="14"/>
    <tableColumn id="16" xr3:uid="{DACB6DB5-86CE-4A5D-9FBE-5B5A932E2495}" uniqueName="16" name="full_description" queryTableFieldId="16" dataDxfId="13"/>
    <tableColumn id="17" xr3:uid="{BAC9739B-5096-4549-B304-C97FF06EAC4F}" uniqueName="17" name="related_items" queryTableFieldId="17" dataDxfId="12"/>
    <tableColumn id="18" xr3:uid="{2270BD1A-B99A-484F-BE28-D18B11AE4752}" uniqueName="18" name="sale_start" queryTableFieldId="18" dataDxfId="11"/>
    <tableColumn id="19" xr3:uid="{9381B496-C848-45C7-9BA2-64A75DC00CB8}" uniqueName="19" name="sale_end" queryTableFieldId="19" dataDxfId="1"/>
    <tableColumn id="20" xr3:uid="{ACBEFF44-A32C-45D8-8048-1090E0D954F0}" uniqueName="20" name="regular_price" queryTableFieldId="20"/>
    <tableColumn id="21" xr3:uid="{93248E2D-FD82-448C-B2A4-A3D8EE97C8E0}" uniqueName="21" name="code_map_mrp" queryTableFieldId="21"/>
    <tableColumn id="22" xr3:uid="{C9A3D9AD-10D3-4237-8A2C-8DAEFDAF6239}" uniqueName="22" name="expected_date" queryTableFieldId="22" dataDxfId="0"/>
    <tableColumn id="23" xr3:uid="{1B3645FE-E43E-49D9-BA35-716BE27FDE7A}" uniqueName="23" name="rebate_info" queryTableFieldId="23" dataDxfId="10"/>
    <tableColumn id="24" xr3:uid="{1ED06810-D1E3-4E01-B742-9AA973398A8A}" uniqueName="24" name="condition" queryTableFieldId="24" dataDxfId="9"/>
    <tableColumn id="25" xr3:uid="{77EC6E65-9830-4D56-86AC-1F5C7780DD5F}" uniqueName="25" name="stock" queryTableFieldId="25" dataDxfId="8"/>
    <tableColumn id="26" xr3:uid="{0BC38611-CB5E-44DA-97D5-CEAA2D9D47D6}" uniqueName="26" name="prop65" queryTableFieldId="26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A2C3-2B76-488B-9104-88601DB9DB94}">
  <dimension ref="A1:E3"/>
  <sheetViews>
    <sheetView tabSelected="1" workbookViewId="0">
      <selection sqref="A1:E2"/>
    </sheetView>
  </sheetViews>
  <sheetFormatPr defaultRowHeight="14.4" x14ac:dyDescent="0.3"/>
  <cols>
    <col min="1" max="1" width="6.109375" bestFit="1" customWidth="1"/>
    <col min="2" max="2" width="18" bestFit="1" customWidth="1"/>
    <col min="3" max="3" width="18.88671875" bestFit="1" customWidth="1"/>
    <col min="4" max="4" width="24" bestFit="1" customWidth="1"/>
    <col min="5" max="5" width="21.33203125" bestFit="1" customWidth="1"/>
    <col min="6" max="6" width="22.33203125" bestFit="1" customWidth="1"/>
  </cols>
  <sheetData>
    <row r="1" spans="1:5" x14ac:dyDescent="0.3">
      <c r="A1" t="s">
        <v>0</v>
      </c>
      <c r="B1" t="s">
        <v>58</v>
      </c>
      <c r="C1" t="s">
        <v>55</v>
      </c>
      <c r="D1" t="s">
        <v>56</v>
      </c>
      <c r="E1" t="s">
        <v>57</v>
      </c>
    </row>
    <row r="2" spans="1:5" x14ac:dyDescent="0.3">
      <c r="A2" s="2" t="s">
        <v>59</v>
      </c>
      <c r="B2" s="2" t="s">
        <v>54</v>
      </c>
      <c r="C2" s="2" t="s">
        <v>26</v>
      </c>
      <c r="D2">
        <v>273.55249999999995</v>
      </c>
      <c r="E2">
        <v>2</v>
      </c>
    </row>
    <row r="3" spans="1:5" x14ac:dyDescent="0.3">
      <c r="A3" s="2" t="s">
        <v>60</v>
      </c>
      <c r="B3" s="2" t="s">
        <v>61</v>
      </c>
      <c r="C3" s="2" t="s">
        <v>40</v>
      </c>
      <c r="D3">
        <v>213.70249999999999</v>
      </c>
      <c r="E3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6C8F-3B8B-4BB7-AEFB-9C0DCCE4884E}">
  <dimension ref="A1:B3"/>
  <sheetViews>
    <sheetView workbookViewId="0">
      <selection sqref="A1:B2"/>
    </sheetView>
  </sheetViews>
  <sheetFormatPr defaultRowHeight="14.4" x14ac:dyDescent="0.3"/>
  <cols>
    <col min="1" max="1" width="6.109375" bestFit="1" customWidth="1"/>
    <col min="2" max="2" width="18" bestFit="1" customWidth="1"/>
    <col min="3" max="3" width="21" bestFit="1" customWidth="1"/>
  </cols>
  <sheetData>
    <row r="1" spans="1:2" x14ac:dyDescent="0.3">
      <c r="A1" t="s">
        <v>0</v>
      </c>
      <c r="B1" t="s">
        <v>58</v>
      </c>
    </row>
    <row r="2" spans="1:2" x14ac:dyDescent="0.3">
      <c r="A2" s="2" t="s">
        <v>59</v>
      </c>
      <c r="B2" s="2" t="s">
        <v>54</v>
      </c>
    </row>
    <row r="3" spans="1:2" x14ac:dyDescent="0.3">
      <c r="A3" s="2" t="s">
        <v>60</v>
      </c>
      <c r="B3" s="2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7CFF-6CB2-4C5F-8CF5-CDBE2FD893A0}">
  <dimension ref="A1:AA4"/>
  <sheetViews>
    <sheetView zoomScale="130" zoomScaleNormal="130" workbookViewId="0">
      <selection sqref="A1:AA8059"/>
    </sheetView>
  </sheetViews>
  <sheetFormatPr defaultRowHeight="14.4" x14ac:dyDescent="0.3"/>
  <cols>
    <col min="1" max="1" width="7" bestFit="1" customWidth="1"/>
    <col min="2" max="2" width="13.21875" bestFit="1" customWidth="1"/>
    <col min="3" max="3" width="19.109375" bestFit="1" customWidth="1"/>
    <col min="4" max="4" width="45.6640625" bestFit="1" customWidth="1"/>
    <col min="5" max="5" width="15.88671875" bestFit="1" customWidth="1"/>
    <col min="6" max="6" width="11" bestFit="1" customWidth="1"/>
    <col min="7" max="8" width="11.21875" bestFit="1" customWidth="1"/>
    <col min="9" max="9" width="8.6640625" bestFit="1" customWidth="1"/>
    <col min="10" max="10" width="21.6640625" bestFit="1" customWidth="1"/>
    <col min="11" max="11" width="24.77734375" bestFit="1" customWidth="1"/>
    <col min="12" max="12" width="14" bestFit="1" customWidth="1"/>
    <col min="13" max="13" width="14.44140625" bestFit="1" customWidth="1"/>
    <col min="14" max="14" width="10.21875" bestFit="1" customWidth="1"/>
    <col min="15" max="15" width="6.33203125" bestFit="1" customWidth="1"/>
    <col min="16" max="16" width="68.77734375" bestFit="1" customWidth="1"/>
    <col min="17" max="17" width="80.88671875" bestFit="1" customWidth="1"/>
    <col min="18" max="18" width="16.5546875" bestFit="1" customWidth="1"/>
    <col min="19" max="19" width="11.33203125" bestFit="1" customWidth="1"/>
    <col min="20" max="20" width="10.5546875" bestFit="1" customWidth="1"/>
    <col min="21" max="21" width="14.109375" bestFit="1" customWidth="1"/>
    <col min="22" max="22" width="16.21875" bestFit="1" customWidth="1"/>
    <col min="23" max="23" width="15.6640625" bestFit="1" customWidth="1"/>
    <col min="24" max="24" width="12.5546875" bestFit="1" customWidth="1"/>
    <col min="25" max="25" width="11.109375" bestFit="1" customWidth="1"/>
    <col min="26" max="26" width="12" bestFit="1" customWidth="1"/>
    <col min="27" max="27" width="80.8867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 t="s">
        <v>59</v>
      </c>
      <c r="B2" t="s">
        <v>26</v>
      </c>
      <c r="C2">
        <v>2</v>
      </c>
      <c r="D2" t="s">
        <v>27</v>
      </c>
      <c r="E2" t="s">
        <v>28</v>
      </c>
      <c r="F2">
        <v>287.95</v>
      </c>
      <c r="H2">
        <v>273.55249999999995</v>
      </c>
      <c r="I2">
        <v>2</v>
      </c>
      <c r="J2" t="s">
        <v>29</v>
      </c>
      <c r="K2" t="s">
        <v>30</v>
      </c>
      <c r="L2" t="s">
        <v>31</v>
      </c>
      <c r="M2" t="s">
        <v>32</v>
      </c>
      <c r="N2">
        <v>11.11</v>
      </c>
      <c r="O2">
        <v>11</v>
      </c>
      <c r="P2" t="s">
        <v>33</v>
      </c>
      <c r="Q2" t="s">
        <v>34</v>
      </c>
      <c r="R2" t="s">
        <v>35</v>
      </c>
      <c r="S2" t="s">
        <v>36</v>
      </c>
      <c r="T2" s="1"/>
      <c r="W2" s="1"/>
      <c r="X2" t="s">
        <v>36</v>
      </c>
      <c r="Y2" t="s">
        <v>37</v>
      </c>
      <c r="Z2" t="s">
        <v>38</v>
      </c>
      <c r="AA2" t="s">
        <v>39</v>
      </c>
    </row>
    <row r="3" spans="1:27" x14ac:dyDescent="0.3">
      <c r="A3" t="s">
        <v>60</v>
      </c>
      <c r="B3" t="s">
        <v>40</v>
      </c>
      <c r="C3">
        <v>1</v>
      </c>
      <c r="D3" t="s">
        <v>41</v>
      </c>
      <c r="E3" t="s">
        <v>42</v>
      </c>
      <c r="F3">
        <v>224.95</v>
      </c>
      <c r="H3">
        <v>213.70249999999999</v>
      </c>
      <c r="I3">
        <v>2</v>
      </c>
      <c r="J3" t="s">
        <v>29</v>
      </c>
      <c r="K3" t="s">
        <v>30</v>
      </c>
      <c r="L3" t="s">
        <v>31</v>
      </c>
      <c r="M3" t="s">
        <v>32</v>
      </c>
      <c r="N3">
        <v>11</v>
      </c>
      <c r="O3">
        <v>0</v>
      </c>
      <c r="P3" t="s">
        <v>43</v>
      </c>
      <c r="Q3" t="s">
        <v>44</v>
      </c>
      <c r="R3" t="s">
        <v>45</v>
      </c>
      <c r="S3" t="s">
        <v>36</v>
      </c>
      <c r="T3" s="1"/>
      <c r="W3" s="1"/>
      <c r="X3" t="s">
        <v>36</v>
      </c>
      <c r="Y3" t="s">
        <v>37</v>
      </c>
      <c r="Z3" t="s">
        <v>38</v>
      </c>
      <c r="AA3" t="s">
        <v>39</v>
      </c>
    </row>
    <row r="4" spans="1:27" x14ac:dyDescent="0.3">
      <c r="A4" t="s">
        <v>62</v>
      </c>
      <c r="B4" t="s">
        <v>46</v>
      </c>
      <c r="C4">
        <v>1</v>
      </c>
      <c r="D4" t="s">
        <v>47</v>
      </c>
      <c r="E4" t="s">
        <v>48</v>
      </c>
      <c r="F4">
        <v>549.95000000000005</v>
      </c>
      <c r="H4">
        <v>522.45249999999999</v>
      </c>
      <c r="I4">
        <v>1</v>
      </c>
      <c r="J4" t="s">
        <v>49</v>
      </c>
      <c r="K4" t="s">
        <v>50</v>
      </c>
      <c r="L4" t="s">
        <v>31</v>
      </c>
      <c r="M4" t="s">
        <v>32</v>
      </c>
      <c r="N4">
        <v>12.76</v>
      </c>
      <c r="O4">
        <v>2</v>
      </c>
      <c r="P4" t="s">
        <v>51</v>
      </c>
      <c r="Q4" t="s">
        <v>52</v>
      </c>
      <c r="R4" t="s">
        <v>36</v>
      </c>
      <c r="S4" t="s">
        <v>36</v>
      </c>
      <c r="T4" s="1"/>
      <c r="W4" s="1"/>
      <c r="X4" t="s">
        <v>36</v>
      </c>
      <c r="Y4" t="s">
        <v>37</v>
      </c>
      <c r="Z4" t="s">
        <v>38</v>
      </c>
      <c r="AA4" t="s">
        <v>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C721-3C36-4790-B4D7-93D2F5604DE6}">
  <dimension ref="A1"/>
  <sheetViews>
    <sheetView workbookViewId="0"/>
  </sheetViews>
  <sheetFormatPr defaultRowHeight="14.4" x14ac:dyDescent="0.3"/>
  <sheetData>
    <row r="1" spans="1:1" x14ac:dyDescent="0.3">
      <c r="A1" t="str" cm="1">
        <f t="array" aca="1" ref="A1" ca="1">LEFT(CELL("filename",$A$1),FIND("[",CELL("filename",$A$1),1)-1)</f>
        <v>e:\Dropbox\DaveDocs\Downloads\powerqueryDemo\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39B1D-9E51-4384-982E-435FC8FF53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Merge1</vt:lpstr>
      <vt:lpstr>mydescriptions</vt:lpstr>
      <vt:lpstr>TQxNyBwElbls</vt:lpstr>
      <vt:lpstr>Sheet1</vt:lpstr>
      <vt:lpstr>FilePath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Edmonson</dc:creator>
  <cp:lastModifiedBy>David Edmonson</cp:lastModifiedBy>
  <dcterms:created xsi:type="dcterms:W3CDTF">2025-04-11T19:06:21Z</dcterms:created>
  <dcterms:modified xsi:type="dcterms:W3CDTF">2025-04-12T01:27:13Z</dcterms:modified>
</cp:coreProperties>
</file>